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yan\Desktop\"/>
    </mc:Choice>
  </mc:AlternateContent>
  <xr:revisionPtr revIDLastSave="0" documentId="13_ncr:1_{4A6A74CE-9E69-4A9E-925E-C19E116C6CD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Sheet1!$A$1:$F$9</definedName>
  </definedName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<sst xmlns="http://schemas.openxmlformats.org/spreadsheetml/2006/main" count="51" uniqueCount="33">
  <si>
    <t>ID</t>
  </si>
  <si>
    <t>NAME</t>
  </si>
  <si>
    <t>DEPT</t>
  </si>
  <si>
    <t>SALARY</t>
  </si>
  <si>
    <t>CITY</t>
  </si>
  <si>
    <t>MANAGER</t>
  </si>
  <si>
    <t>TOTAL SALARY</t>
  </si>
  <si>
    <t>AVG. SALARY</t>
  </si>
  <si>
    <t>EMP. COUNT</t>
  </si>
  <si>
    <t>MAX SALARY</t>
  </si>
  <si>
    <t>MIN SALARY</t>
  </si>
  <si>
    <t>EMP. (NAME-REC.)</t>
  </si>
  <si>
    <t>Raj</t>
  </si>
  <si>
    <t>IT</t>
  </si>
  <si>
    <t>Delhi</t>
  </si>
  <si>
    <t>Priya</t>
  </si>
  <si>
    <t>HR</t>
  </si>
  <si>
    <t>Mumbai</t>
  </si>
  <si>
    <t>Amit</t>
  </si>
  <si>
    <t>Sara</t>
  </si>
  <si>
    <t>Finance</t>
  </si>
  <si>
    <t>Pune</t>
  </si>
  <si>
    <t>Vivek</t>
  </si>
  <si>
    <t>Neha</t>
  </si>
  <si>
    <t>Rohit</t>
  </si>
  <si>
    <t>Deepa</t>
  </si>
  <si>
    <t>BUDGET</t>
  </si>
  <si>
    <t>Suresh</t>
  </si>
  <si>
    <t>Meena</t>
  </si>
  <si>
    <t>Ravi</t>
  </si>
  <si>
    <t>Row Labels</t>
  </si>
  <si>
    <t>Grand Total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</si>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</sst>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rgb="FFFFFFFF"/>
      <name val="Arial"/>
      <family val="2"/>
    </font>
    <font>
      <sz val="11"/>
      <color theme="0"/>
      <name val="Calibri"/>
      <family val="2"/>
      <charset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548235"/>
      </patternFill>
    </fill>
    <fill>
      <patternFill patternType="solid">
        <fgColor rgb="FF4472C4"/>
        <bgColor rgb="FF666699"/>
      </patternFill>
    </fill>
    <fill>
      <patternFill patternType="solid">
        <fgColor theme="0" tint="-0.14999847407452621"/>
        <bgColor rgb="FFC0C0C0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ustus 7908" refreshedDate="46093.608056944446" createdVersion="8" refreshedVersion="8" minRefreshableVersion="3" recordCount="8" xr:uid="{96EA02D8-C174-4760-9801-EFD63BD18F6D}">
  <cacheSource type="worksheet">
    <worksheetSource ref="A1:F9" sheet="Sheet1"/>
  </cacheSource>
  <cacheFields count="6">
    <cacheField name="ID" numFmtId="0">
      <sharedItems containsSemiMixedTypes="0" containsString="0" containsNumber="1" containsInteger="1" minValue="1" maxValue="8"/>
    </cacheField>
    <cacheField name="NAME" numFmtId="0">
      <sharedItems/>
    </cacheField>
    <cacheField name="DEPT" numFmtId="0">
      <sharedItems count="3">
        <s v="IT"/>
        <s v="HR"/>
        <s v="Finance"/>
      </sharedItems>
    </cacheField>
    <cacheField name="SALARY" numFmtId="0">
      <sharedItems containsSemiMixedTypes="0" containsString="0" containsNumber="1" containsInteger="1" minValue="35000" maxValue="52000"/>
    </cacheField>
    <cacheField name="CITY" numFmtId="0">
      <sharedItems/>
    </cacheField>
    <cacheField name="MANAG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s v="Raj"/>
    <x v="0"/>
    <n v="45000"/>
    <s v="Delhi"/>
    <s v="Suresh"/>
  </r>
  <r>
    <n v="2"/>
    <s v="Priya"/>
    <x v="1"/>
    <n v="38000"/>
    <s v="Mumbai"/>
    <s v="Meena"/>
  </r>
  <r>
    <n v="3"/>
    <s v="Amit"/>
    <x v="0"/>
    <n v="52000"/>
    <s v="Delhi"/>
    <s v="Suresh"/>
  </r>
  <r>
    <n v="4"/>
    <s v="Sara"/>
    <x v="2"/>
    <n v="41000"/>
    <s v="Pune"/>
    <s v="Ravi"/>
  </r>
  <r>
    <n v="5"/>
    <s v="Vivek"/>
    <x v="1"/>
    <n v="35000"/>
    <s v="Delhi"/>
    <s v="Meena"/>
  </r>
  <r>
    <n v="6"/>
    <s v="Neha"/>
    <x v="2"/>
    <n v="47000"/>
    <s v="Mumbai"/>
    <s v="Ravi"/>
  </r>
  <r>
    <n v="7"/>
    <s v="Rohit"/>
    <x v="0"/>
    <n v="39000"/>
    <s v="Pune"/>
    <s v="Suresh"/>
  </r>
  <r>
    <n v="8"/>
    <s v="Deepa"/>
    <x v="1"/>
    <n v="43000"/>
    <s v="Delhi"/>
    <s v="Mee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B9E99-DA0A-4DF4-99F9-3802B345A6C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6"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zoomScale="130" zoomScaleNormal="130" workbookViewId="0"/>
  </sheetViews>
  <sheetFormatPr defaultColWidth="8.6640625" defaultRowHeight="14.4" x14ac:dyDescent="0.3"/>
  <cols>
    <col min="1" max="1" width="7.44140625" customWidth="1"/>
    <col min="2" max="2" width="12.5546875" customWidth="1"/>
    <col min="3" max="3" width="12.21875" customWidth="1"/>
    <col min="4" max="4" width="14" customWidth="1"/>
    <col min="5" max="5" width="13.33203125" customWidth="1"/>
    <col min="6" max="6" width="20" customWidth="1"/>
    <col min="7" max="7" width="21" customWidth="1"/>
    <col min="8" max="8" width="11.77734375" customWidth="1"/>
    <col min="9" max="9" width="8.109375" customWidth="1"/>
    <col min="10" max="10" width="7.33203125" customWidth="1"/>
    <col min="11" max="11" width="14.77734375" customWidth="1"/>
    <col min="12" max="12" width="13.5546875" customWidth="1"/>
    <col min="13" max="13" width="13.33203125" customWidth="1"/>
    <col min="14" max="14" width="14" customWidth="1"/>
    <col min="15" max="15" width="13.88671875" customWidth="1"/>
    <col min="16" max="16" width="18.33203125" customWidth="1"/>
  </cols>
  <sheetData>
    <row r="1" spans="1:1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</row>
    <row r="2" spans="1:16" ht="14.25" customHeight="1" x14ac:dyDescent="0.3">
      <c r="A2" s="5">
        <v>1</v>
      </c>
      <c r="B2" s="5" t="s">
        <v>12</v>
      </c>
      <c r="C2" s="5" t="s">
        <v>13</v>
      </c>
      <c r="D2" s="5">
        <v>45000</v>
      </c>
      <c r="E2" s="5" t="s">
        <v>14</v>
      </c>
      <c r="F2" s="6" t="str">
        <f>VLOOKUP(TRIM(C2),Sheet2!A:B,2,0)</f>
        <v>Suresh</v>
      </c>
      <c r="G2" s="3"/>
      <c r="H2" s="3"/>
      <c r="I2" s="3"/>
      <c r="K2" s="3">
        <f>SUM(D2:D9)</f>
        <v>340000</v>
      </c>
      <c r="L2" s="3">
        <f>AVERAGE(D2:D9)</f>
        <v>42500</v>
      </c>
      <c r="M2" s="3">
        <f>COUNT(A2:A9)</f>
        <v>8</v>
      </c>
      <c r="N2" s="3">
        <f>MAX(D2:D9)</f>
        <v>52000</v>
      </c>
      <c r="O2" s="3">
        <f>MIN(D2:D9)</f>
        <v>35000</v>
      </c>
      <c r="P2" s="3">
        <f>COUNTA(B2:B9)</f>
        <v>8</v>
      </c>
    </row>
    <row r="3" spans="1:16" ht="14.25" customHeight="1" x14ac:dyDescent="0.3">
      <c r="A3" s="3">
        <v>2</v>
      </c>
      <c r="B3" s="3" t="s">
        <v>15</v>
      </c>
      <c r="C3" s="3" t="s">
        <v>16</v>
      </c>
      <c r="D3" s="3">
        <v>38000</v>
      </c>
      <c r="E3" s="3" t="s">
        <v>17</v>
      </c>
      <c r="F3" s="6" t="str">
        <f>VLOOKUP(TRIM(C3),Sheet2!A:B,2,0)</f>
        <v>Meena</v>
      </c>
      <c r="G3" s="3"/>
      <c r="H3" s="3"/>
      <c r="I3" s="3"/>
    </row>
    <row r="4" spans="1:16" ht="14.25" customHeight="1" x14ac:dyDescent="0.3">
      <c r="A4" s="5">
        <v>3</v>
      </c>
      <c r="B4" s="5" t="s">
        <v>18</v>
      </c>
      <c r="C4" s="5" t="s">
        <v>13</v>
      </c>
      <c r="D4" s="5">
        <v>52000</v>
      </c>
      <c r="E4" s="5" t="s">
        <v>14</v>
      </c>
      <c r="F4" s="6" t="str">
        <f>VLOOKUP(TRIM(C4),Sheet2!A:B,2,0)</f>
        <v>Suresh</v>
      </c>
      <c r="G4" s="3"/>
      <c r="H4" s="3"/>
      <c r="I4" s="3"/>
    </row>
    <row r="5" spans="1:16" ht="14.25" customHeight="1" x14ac:dyDescent="0.3">
      <c r="A5" s="3">
        <v>4</v>
      </c>
      <c r="B5" s="3" t="s">
        <v>19</v>
      </c>
      <c r="C5" s="3" t="s">
        <v>20</v>
      </c>
      <c r="D5" s="3">
        <v>41000</v>
      </c>
      <c r="E5" s="3" t="s">
        <v>21</v>
      </c>
      <c r="F5" s="6" t="str">
        <f>VLOOKUP(TRIM(C5),Sheet2!A:B,2,0)</f>
        <v>Ravi</v>
      </c>
      <c r="G5" s="3"/>
      <c r="H5" s="3"/>
      <c r="I5" s="3"/>
    </row>
    <row r="6" spans="1:16" ht="14.25" customHeight="1" x14ac:dyDescent="0.3">
      <c r="A6" s="11">
        <v>5</v>
      </c>
      <c r="B6" s="11" t="s">
        <v>22</v>
      </c>
      <c r="C6" s="11" t="s">
        <v>16</v>
      </c>
      <c r="D6" s="11">
        <v>35000</v>
      </c>
      <c r="E6" s="11" t="s">
        <v>14</v>
      </c>
      <c r="F6" s="6" t="str">
        <f>VLOOKUP(TRIM(C6),Sheet2!A:B,2,0)</f>
        <v>Meena</v>
      </c>
      <c r="G6" s="3"/>
      <c r="H6" s="3"/>
      <c r="I6" s="3"/>
    </row>
    <row r="7" spans="1:16" ht="14.25" customHeight="1" x14ac:dyDescent="0.3">
      <c r="A7" s="3">
        <v>6</v>
      </c>
      <c r="B7" s="3" t="s">
        <v>23</v>
      </c>
      <c r="C7" s="3" t="s">
        <v>20</v>
      </c>
      <c r="D7" s="3">
        <v>47000</v>
      </c>
      <c r="E7" s="3" t="s">
        <v>17</v>
      </c>
      <c r="F7" s="6" t="str">
        <f>VLOOKUP(TRIM(C7),Sheet2!A:B,2,0)</f>
        <v>Ravi</v>
      </c>
      <c r="G7" s="3"/>
      <c r="H7" s="3"/>
      <c r="I7" s="3"/>
    </row>
    <row r="8" spans="1:16" ht="14.25" customHeight="1" x14ac:dyDescent="0.3">
      <c r="A8" s="5">
        <v>7</v>
      </c>
      <c r="B8" s="5" t="s">
        <v>24</v>
      </c>
      <c r="C8" s="5" t="s">
        <v>13</v>
      </c>
      <c r="D8" s="5">
        <v>39000</v>
      </c>
      <c r="E8" s="5" t="s">
        <v>21</v>
      </c>
      <c r="F8" s="6" t="str">
        <f>VLOOKUP(TRIM(C8),Sheet2!A:B,2,0)</f>
        <v>Suresh</v>
      </c>
      <c r="G8" s="3"/>
      <c r="H8" s="3"/>
      <c r="I8" s="3"/>
    </row>
    <row r="9" spans="1:16" ht="15" customHeight="1" x14ac:dyDescent="0.3">
      <c r="A9" s="7">
        <v>8</v>
      </c>
      <c r="B9" s="7" t="s">
        <v>25</v>
      </c>
      <c r="C9" s="7" t="s">
        <v>16</v>
      </c>
      <c r="D9" s="7">
        <v>43000</v>
      </c>
      <c r="E9" s="7" t="s">
        <v>14</v>
      </c>
      <c r="F9" s="6" t="str">
        <f>VLOOKUP(TRIM(C9),Sheet2!A:B,2,0)</f>
        <v>Meena</v>
      </c>
      <c r="G9" s="3"/>
      <c r="H9" s="3"/>
      <c r="I9" s="3"/>
    </row>
    <row r="10" spans="1:1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1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1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1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1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16" ht="14.25" customHeight="1" x14ac:dyDescent="0.3">
      <c r="A15" s="3"/>
      <c r="H15" s="3"/>
    </row>
    <row r="16" spans="1:16" ht="14.25" customHeight="1" x14ac:dyDescent="0.3">
      <c r="A16" s="3"/>
      <c r="H16" s="3"/>
    </row>
    <row r="17" spans="1:8" ht="14.25" customHeight="1" x14ac:dyDescent="0.3">
      <c r="A17" s="3"/>
      <c r="B17" s="3"/>
      <c r="C17" s="3"/>
      <c r="D17" s="3"/>
      <c r="E17" s="3"/>
      <c r="F17" s="3"/>
      <c r="G17" s="3"/>
      <c r="H17" s="3"/>
    </row>
    <row r="18" spans="1:8" ht="14.25" customHeight="1" x14ac:dyDescent="0.3">
      <c r="A18" s="3"/>
      <c r="B18" s="3"/>
      <c r="C18" s="3"/>
      <c r="D18" s="3"/>
      <c r="E18" s="3"/>
      <c r="F18" s="3"/>
      <c r="G18" s="3"/>
      <c r="H18" s="3"/>
    </row>
  </sheetData>
  <autoFilter ref="A1:F9" xr:uid="{00000000-0001-0000-0000-000000000000}">
    <sortState xmlns:xlrd2="http://schemas.microsoft.com/office/spreadsheetml/2017/richdata2" ref="A2:F9">
      <sortCondition ref="A1:A9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C4"/>
  <sheetViews>
    <sheetView tabSelected="1" zoomScale="145" zoomScaleNormal="145" workbookViewId="0">
      <selection activeCell="C10" sqref="C10"/>
    </sheetView>
  </sheetViews>
  <sheetFormatPr defaultColWidth="8.6640625" defaultRowHeight="14.4" x14ac:dyDescent="0.3"/>
  <cols>
    <col min="1" max="1" width="12.88671875" customWidth="1"/>
    <col min="2" max="2" width="13.109375" customWidth="1"/>
    <col min="3" max="3" width="11" customWidth="1"/>
  </cols>
  <sheetData>
    <row r="1" spans="1:3" ht="14.25" customHeight="1" x14ac:dyDescent="0.3">
      <c r="A1" s="4" t="s">
        <v>2</v>
      </c>
      <c r="B1" s="4" t="s">
        <v>5</v>
      </c>
      <c r="C1" s="4" t="s">
        <v>26</v>
      </c>
    </row>
    <row r="2" spans="1:3" ht="14.25" customHeight="1" x14ac:dyDescent="0.3">
      <c r="A2" s="3" t="s">
        <v>13</v>
      </c>
      <c r="B2" s="3" t="s">
        <v>27</v>
      </c>
      <c r="C2" s="3">
        <v>500000</v>
      </c>
    </row>
    <row r="3" spans="1:3" ht="14.25" customHeight="1" x14ac:dyDescent="0.3">
      <c r="A3" s="3" t="s">
        <v>16</v>
      </c>
      <c r="B3" s="3" t="s">
        <v>28</v>
      </c>
      <c r="C3" s="3">
        <v>300000</v>
      </c>
    </row>
    <row r="4" spans="1:3" ht="14.25" customHeight="1" x14ac:dyDescent="0.3">
      <c r="A4" s="3" t="s">
        <v>20</v>
      </c>
      <c r="B4" s="3" t="s">
        <v>29</v>
      </c>
      <c r="C4" s="3">
        <v>400000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721F-E282-445B-A3E8-91E966471A5C}">
  <dimension ref="A3:B7"/>
  <sheetViews>
    <sheetView workbookViewId="0">
      <selection activeCell="A3" sqref="A3"/>
    </sheetView>
  </sheetViews>
  <sheetFormatPr defaultRowHeight="14.4" x14ac:dyDescent="0.3"/>
  <cols>
    <col min="1" max="1" width="24.109375" customWidth="1"/>
    <col min="2" max="2" width="19.77734375" customWidth="1"/>
  </cols>
  <sheetData>
    <row r="3" spans="1:2" x14ac:dyDescent="0.3">
      <c r="A3" s="8" t="s">
        <v>30</v>
      </c>
      <c r="B3" t="s">
        <v>32</v>
      </c>
    </row>
    <row r="4" spans="1:2" x14ac:dyDescent="0.3">
      <c r="A4" s="9" t="s">
        <v>20</v>
      </c>
      <c r="B4" s="10">
        <v>44000</v>
      </c>
    </row>
    <row r="5" spans="1:2" x14ac:dyDescent="0.3">
      <c r="A5" s="9" t="s">
        <v>16</v>
      </c>
      <c r="B5" s="10">
        <v>38666.666666666664</v>
      </c>
    </row>
    <row r="6" spans="1:2" x14ac:dyDescent="0.3">
      <c r="A6" s="9" t="s">
        <v>13</v>
      </c>
      <c r="B6" s="10">
        <v>45333.333333333336</v>
      </c>
    </row>
    <row r="7" spans="1:2" x14ac:dyDescent="0.3">
      <c r="A7" s="9" t="s">
        <v>31</v>
      </c>
      <c r="B7" s="10">
        <v>42500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Faustus 7908</dc:creator>
  <dc:description/>
  <cp:lastModifiedBy>Faustus 7908</cp:lastModifiedBy>
  <cp:revision>0</cp:revision>
  <dcterms:created xsi:type="dcterms:W3CDTF">2026-03-12T07:36:48Z</dcterms:created>
  <dcterms:modified xsi:type="dcterms:W3CDTF">2026-03-12T09:47:44Z</dcterms:modified>
  <dc:language>en-US</dc:language>
</cp:coreProperties>
</file>